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5"/>
  <workbookPr/>
  <mc:AlternateContent xmlns:mc="http://schemas.openxmlformats.org/markup-compatibility/2006">
    <mc:Choice Requires="x15">
      <x15ac:absPath xmlns:x15ac="http://schemas.microsoft.com/office/spreadsheetml/2010/11/ac" url="C:\Users\abdullah\Desktop\"/>
    </mc:Choice>
  </mc:AlternateContent>
  <xr:revisionPtr revIDLastSave="0" documentId="13_ncr:41000001_{88F342DA-2A13-E24A-A858-3DF4CC3B7AFC}" xr6:coauthVersionLast="47" xr6:coauthVersionMax="47" xr10:uidLastSave="{00000000-0000-0000-0000-000000000000}"/>
  <workbookProtection workbookAlgorithmName="SHA-512" workbookHashValue="ZVSKZYsmAZ7/0WwqqO5qnJsmoHQ414DsiXlgLLZ1b0EdyQmBuCfbt17P0mXd6q4oKO0vmzQLWIxCX42L92gtRQ==" workbookSaltValue="85BVn4vKgX+auMyh+4hyTg==" workbookSpinCount="100000" lockStructure="1"/>
  <bookViews>
    <workbookView xWindow="-108" yWindow="-108" windowWidth="23256" windowHeight="12456" xr2:uid="{00000000-000D-0000-FFFF-FFFF00000000}"/>
  </bookViews>
  <sheets>
    <sheet name="Regul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AW92" i="1"/>
  <c r="AY92" i="1"/>
  <c r="AW91" i="1"/>
  <c r="AY91" i="1"/>
  <c r="AW90" i="1"/>
  <c r="AY90" i="1"/>
  <c r="AW89" i="1"/>
  <c r="AY89" i="1"/>
  <c r="AW88" i="1"/>
  <c r="AY88" i="1"/>
  <c r="AW87" i="1"/>
  <c r="AY87" i="1"/>
  <c r="AW86" i="1"/>
  <c r="AY86" i="1"/>
  <c r="AW85" i="1"/>
  <c r="AY85" i="1"/>
  <c r="AW84" i="1"/>
  <c r="AY84" i="1"/>
  <c r="AW83" i="1"/>
  <c r="AY83" i="1"/>
  <c r="AW82" i="1"/>
  <c r="AY82" i="1"/>
  <c r="AW81" i="1"/>
  <c r="AY81" i="1"/>
  <c r="AW80" i="1"/>
  <c r="AY80" i="1"/>
  <c r="AW79" i="1"/>
  <c r="AY79" i="1"/>
  <c r="AW78" i="1"/>
  <c r="AY78" i="1"/>
  <c r="AW77" i="1"/>
  <c r="AY77" i="1"/>
  <c r="AW76" i="1"/>
  <c r="AY76" i="1"/>
  <c r="AW75" i="1"/>
  <c r="AY75" i="1"/>
  <c r="AW74" i="1"/>
  <c r="AY74" i="1"/>
  <c r="I74" i="1"/>
  <c r="I75" i="1"/>
  <c r="I76" i="1"/>
  <c r="I77" i="1"/>
  <c r="AW73" i="1"/>
  <c r="AY73" i="1"/>
  <c r="G73" i="1"/>
  <c r="G77" i="1"/>
  <c r="AW72" i="1"/>
  <c r="AY72" i="1"/>
  <c r="AW71" i="1"/>
  <c r="AY71" i="1"/>
  <c r="AW70" i="1"/>
  <c r="AY70" i="1"/>
  <c r="AW69" i="1"/>
  <c r="AY69" i="1"/>
  <c r="AW68" i="1"/>
  <c r="AY68" i="1"/>
  <c r="AW67" i="1"/>
  <c r="AY67" i="1"/>
  <c r="AW66" i="1"/>
  <c r="AY66" i="1"/>
  <c r="AW65" i="1"/>
  <c r="AY65" i="1"/>
  <c r="D8" i="1"/>
  <c r="D5" i="1"/>
  <c r="D7" i="1"/>
  <c r="D9" i="1"/>
  <c r="AY4" i="1"/>
  <c r="AW4" i="1"/>
  <c r="C11" i="1"/>
  <c r="H77" i="1"/>
  <c r="G74" i="1"/>
  <c r="H74" i="1"/>
  <c r="H73" i="1"/>
  <c r="G75" i="1"/>
  <c r="H75" i="1"/>
  <c r="G76" i="1"/>
  <c r="H76" i="1"/>
  <c r="E5" i="1"/>
  <c r="H78" i="1"/>
  <c r="H79" i="1"/>
  <c r="G4" i="1"/>
  <c r="AW34" i="1"/>
  <c r="AY34" i="1"/>
  <c r="AW15" i="1"/>
  <c r="AY15" i="1"/>
  <c r="AW12" i="1"/>
  <c r="AY12" i="1"/>
  <c r="AW26" i="1"/>
  <c r="AY26" i="1"/>
  <c r="AW27" i="1"/>
  <c r="AY27" i="1"/>
  <c r="AW40" i="1"/>
  <c r="AY40" i="1"/>
  <c r="AW52" i="1"/>
  <c r="AY52" i="1"/>
  <c r="AW45" i="1"/>
  <c r="AY45" i="1"/>
  <c r="AW58" i="1"/>
  <c r="AY58" i="1"/>
  <c r="AW11" i="1"/>
  <c r="AY11" i="1"/>
  <c r="AW61" i="1"/>
  <c r="AY61" i="1"/>
  <c r="AW14" i="1"/>
  <c r="AY14" i="1"/>
  <c r="AW9" i="1"/>
  <c r="AY9" i="1"/>
  <c r="AW6" i="1"/>
  <c r="AY6" i="1"/>
  <c r="AW24" i="1"/>
  <c r="AY24" i="1"/>
  <c r="AW64" i="1"/>
  <c r="AY64" i="1"/>
  <c r="AW8" i="1"/>
  <c r="AY8" i="1"/>
  <c r="AW53" i="1"/>
  <c r="AY53" i="1"/>
  <c r="AW51" i="1"/>
  <c r="AY51" i="1"/>
  <c r="AW59" i="1"/>
  <c r="AY59" i="1"/>
  <c r="AW23" i="1"/>
  <c r="AY23" i="1"/>
  <c r="AW16" i="1"/>
  <c r="AY16" i="1"/>
  <c r="AW42" i="1"/>
  <c r="AY42" i="1"/>
  <c r="AW54" i="1"/>
  <c r="AY54" i="1"/>
  <c r="AW48" i="1"/>
  <c r="AY48" i="1"/>
  <c r="AW35" i="1"/>
  <c r="AY35" i="1"/>
  <c r="AW31" i="1"/>
  <c r="AY31" i="1"/>
  <c r="AW49" i="1"/>
  <c r="AY49" i="1"/>
  <c r="AW33" i="1"/>
  <c r="AY33" i="1"/>
  <c r="AW50" i="1"/>
  <c r="AY50" i="1"/>
  <c r="AW21" i="1"/>
  <c r="AY21" i="1"/>
  <c r="AW57" i="1"/>
  <c r="AY57" i="1"/>
  <c r="AW5" i="1"/>
  <c r="AY5" i="1"/>
  <c r="AW10" i="1"/>
  <c r="AY10" i="1"/>
  <c r="AW29" i="1"/>
  <c r="AY29" i="1"/>
  <c r="AW62" i="1"/>
  <c r="AY62" i="1"/>
  <c r="G6" i="1"/>
  <c r="AW22" i="1"/>
  <c r="AY22" i="1"/>
  <c r="AW44" i="1"/>
  <c r="AY44" i="1"/>
  <c r="AW28" i="1"/>
  <c r="AY28" i="1"/>
  <c r="AW37" i="1"/>
  <c r="AY37" i="1"/>
  <c r="AW43" i="1"/>
  <c r="AY43" i="1"/>
  <c r="AW46" i="1"/>
  <c r="AY46" i="1"/>
  <c r="AW19" i="1"/>
  <c r="AY19" i="1"/>
  <c r="AW13" i="1"/>
  <c r="AY13" i="1"/>
  <c r="AW60" i="1"/>
  <c r="AY60" i="1"/>
  <c r="AW32" i="1"/>
  <c r="AY32" i="1"/>
  <c r="AW17" i="1"/>
  <c r="AY17" i="1"/>
  <c r="AW47" i="1"/>
  <c r="AY47" i="1"/>
  <c r="AW41" i="1"/>
  <c r="AY41" i="1"/>
  <c r="AW39" i="1"/>
  <c r="AY39" i="1"/>
  <c r="AW18" i="1"/>
  <c r="AY18" i="1"/>
  <c r="AW56" i="1"/>
  <c r="AY56" i="1"/>
  <c r="AW30" i="1"/>
  <c r="AY30" i="1"/>
  <c r="AW25" i="1"/>
  <c r="AY25" i="1"/>
  <c r="AW55" i="1"/>
  <c r="AY55" i="1"/>
  <c r="AW7" i="1"/>
  <c r="AY7" i="1"/>
  <c r="AW63" i="1"/>
  <c r="AY63" i="1"/>
  <c r="AW38" i="1"/>
  <c r="AY38" i="1"/>
  <c r="AW36" i="1"/>
  <c r="AY36" i="1"/>
  <c r="AW20" i="1"/>
  <c r="AY20" i="1"/>
  <c r="AY3" i="1"/>
  <c r="C12" i="1"/>
  <c r="AW3" i="1"/>
</calcChain>
</file>

<file path=xl/sharedStrings.xml><?xml version="1.0" encoding="utf-8"?>
<sst xmlns="http://schemas.openxmlformats.org/spreadsheetml/2006/main" count="24" uniqueCount="23">
  <si>
    <t>Markup</t>
  </si>
  <si>
    <t>APR</t>
  </si>
  <si>
    <t>Minimum premuim</t>
  </si>
  <si>
    <t>Annual increment</t>
  </si>
  <si>
    <t>Car price (depreciating)</t>
  </si>
  <si>
    <t>insurance cost</t>
  </si>
  <si>
    <t>Insurance rate</t>
  </si>
  <si>
    <t>Total</t>
  </si>
  <si>
    <t>DP + Admin Fees + Gov. Fees</t>
  </si>
  <si>
    <t>خاص</t>
  </si>
  <si>
    <t>تجاري</t>
  </si>
  <si>
    <t>الدفعة الأولى</t>
  </si>
  <si>
    <t>الدفعة الأخيرة</t>
  </si>
  <si>
    <t>هامش الربح</t>
  </si>
  <si>
    <t>التأمين</t>
  </si>
  <si>
    <t>الرسوم الإدارية</t>
  </si>
  <si>
    <t>المدة</t>
  </si>
  <si>
    <t>القسط الشهري</t>
  </si>
  <si>
    <t>التكلفة النهائية</t>
  </si>
  <si>
    <t>الرجاء إدخال المعلومات في الخلايا الصفراء</t>
  </si>
  <si>
    <r>
      <t xml:space="preserve">سعر السيارة </t>
    </r>
    <r>
      <rPr>
        <sz val="6"/>
        <color theme="1"/>
        <rFont val="Sakkal Majalla"/>
      </rPr>
      <t>(شاملاً ضريبة القيمة المضافة)</t>
    </r>
  </si>
  <si>
    <t>سنوات</t>
  </si>
  <si>
    <t>نوع الترخيص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</si>
</sst>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%"/>
    <numFmt numFmtId="165" formatCode="_-* #,##0.00\ _$_-;_-* #,##0.00\ _$\-;_-* &quot;-&quot;??\ _$_-;_-@_-"/>
    <numFmt numFmtId="166" formatCode="#,##0.00\ [$SAR]_-"/>
    <numFmt numFmtId="167" formatCode="#,##0\ [$SAR]_-"/>
    <numFmt numFmtId="168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sz val="14"/>
      <color theme="1"/>
      <name val="Sakkal Majalla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Sakkal Majalla"/>
    </font>
    <font>
      <b/>
      <sz val="16"/>
      <color theme="1"/>
      <name val="Sakkal Majalla"/>
    </font>
    <font>
      <b/>
      <sz val="18"/>
      <color theme="1"/>
      <name val="Sakkal Majalla"/>
    </font>
    <font>
      <b/>
      <sz val="10"/>
      <color theme="1"/>
      <name val="Sakkal Majalla"/>
    </font>
    <font>
      <sz val="6"/>
      <color theme="1"/>
      <name val="Sakkal Majalla"/>
    </font>
    <font>
      <b/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A8A7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1" tint="0.499984740745262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/>
    <xf numFmtId="167" fontId="0" fillId="0" borderId="0" xfId="0" applyNumberFormat="1"/>
    <xf numFmtId="168" fontId="0" fillId="2" borderId="1" xfId="2" applyNumberFormat="1" applyFont="1" applyFill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3" fontId="5" fillId="4" borderId="4" xfId="0" applyNumberFormat="1" applyFont="1" applyFill="1" applyBorder="1" applyAlignment="1">
      <alignment horizontal="center"/>
    </xf>
    <xf numFmtId="3" fontId="0" fillId="0" borderId="0" xfId="0" applyNumberFormat="1"/>
    <xf numFmtId="10" fontId="0" fillId="2" borderId="1" xfId="0" applyNumberFormat="1" applyFill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/>
    </xf>
    <xf numFmtId="0" fontId="6" fillId="4" borderId="0" xfId="0" applyFont="1" applyFill="1" applyAlignment="1">
      <alignment vertical="center"/>
    </xf>
    <xf numFmtId="3" fontId="6" fillId="4" borderId="0" xfId="0" applyNumberFormat="1" applyFont="1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9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9" fontId="0" fillId="2" borderId="1" xfId="2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0" fontId="8" fillId="4" borderId="0" xfId="0" applyFont="1" applyFill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/>
    </xf>
    <xf numFmtId="9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165" fontId="0" fillId="0" borderId="0" xfId="0" applyNumberFormat="1"/>
    <xf numFmtId="10" fontId="0" fillId="0" borderId="0" xfId="0" applyNumberFormat="1"/>
    <xf numFmtId="165" fontId="0" fillId="0" borderId="0" xfId="1" applyFont="1"/>
    <xf numFmtId="10" fontId="0" fillId="0" borderId="0" xfId="2" applyNumberFormat="1" applyFont="1"/>
    <xf numFmtId="166" fontId="0" fillId="0" borderId="2" xfId="1" applyNumberFormat="1" applyFont="1" applyBorder="1" applyAlignment="1">
      <alignment horizontal="center"/>
    </xf>
    <xf numFmtId="10" fontId="0" fillId="0" borderId="0" xfId="2" applyNumberFormat="1" applyFont="1" applyBorder="1"/>
    <xf numFmtId="0" fontId="9" fillId="0" borderId="6" xfId="0" applyFont="1" applyBorder="1" applyAlignment="1">
      <alignment horizontal="center" vertical="center" wrapText="1"/>
    </xf>
    <xf numFmtId="167" fontId="2" fillId="3" borderId="7" xfId="1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167" fontId="15" fillId="7" borderId="1" xfId="1" applyNumberFormat="1" applyFont="1" applyFill="1" applyBorder="1" applyAlignment="1">
      <alignment horizontal="center" vertical="center"/>
    </xf>
    <xf numFmtId="10" fontId="3" fillId="3" borderId="2" xfId="2" applyNumberFormat="1" applyFont="1" applyFill="1" applyBorder="1" applyAlignment="1">
      <alignment horizontal="center" vertical="center"/>
    </xf>
    <xf numFmtId="10" fontId="3" fillId="3" borderId="3" xfId="2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66" fontId="3" fillId="2" borderId="1" xfId="1" applyNumberFormat="1" applyFont="1" applyFill="1" applyBorder="1" applyAlignment="1">
      <alignment horizontal="center" vertical="center"/>
    </xf>
    <xf numFmtId="166" fontId="3" fillId="2" borderId="2" xfId="1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10" fontId="0" fillId="5" borderId="1" xfId="2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2A8A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J113"/>
  <sheetViews>
    <sheetView showGridLines="0" tabSelected="1" topLeftCell="A3" zoomScaleNormal="100" workbookViewId="0">
      <selection activeCell="C8" sqref="C8"/>
    </sheetView>
  </sheetViews>
  <sheetFormatPr defaultRowHeight="15" x14ac:dyDescent="0.2"/>
  <cols>
    <col min="1" max="1" width="5.51171875" customWidth="1"/>
    <col min="2" max="2" width="11.8359375" customWidth="1"/>
    <col min="3" max="3" width="8.47265625" bestFit="1" customWidth="1"/>
    <col min="4" max="4" width="14.9296875" bestFit="1" customWidth="1"/>
    <col min="5" max="5" width="13.1796875" customWidth="1"/>
    <col min="6" max="6" width="17.484375" bestFit="1" customWidth="1"/>
    <col min="7" max="7" width="21.5234375" customWidth="1"/>
    <col min="8" max="8" width="16.54296875" hidden="1" customWidth="1"/>
    <col min="9" max="9" width="15.33203125" hidden="1" customWidth="1"/>
    <col min="10" max="10" width="24.48046875" hidden="1" customWidth="1"/>
    <col min="11" max="11" width="8.33984375" hidden="1" customWidth="1"/>
    <col min="12" max="12" width="7.26171875" hidden="1" customWidth="1"/>
    <col min="13" max="14" width="6.9921875" hidden="1" customWidth="1"/>
    <col min="15" max="15" width="8.47265625" hidden="1" customWidth="1"/>
    <col min="16" max="16" width="5.24609375" hidden="1" customWidth="1"/>
    <col min="17" max="17" width="18.6953125" hidden="1" customWidth="1"/>
    <col min="18" max="48" width="9.14453125" hidden="1" customWidth="1"/>
    <col min="49" max="49" width="15.46875" hidden="1" customWidth="1"/>
    <col min="50" max="50" width="9.14453125" hidden="1" customWidth="1"/>
    <col min="51" max="51" width="15.46875" hidden="1" customWidth="1"/>
    <col min="52" max="56" width="9.14453125" hidden="1" customWidth="1"/>
    <col min="57" max="113" width="0" hidden="1" customWidth="1"/>
    <col min="114" max="114" width="43.44921875" hidden="1" customWidth="1"/>
  </cols>
  <sheetData>
    <row r="1" spans="2:54" ht="19.5" thickBot="1" x14ac:dyDescent="0.45">
      <c r="B1" s="46" t="s">
        <v>19</v>
      </c>
      <c r="C1" s="47"/>
      <c r="D1" s="48"/>
    </row>
    <row r="2" spans="2:54" ht="24.75" customHeight="1" x14ac:dyDescent="0.2"/>
    <row r="3" spans="2:54" ht="29.25" customHeight="1" thickBot="1" x14ac:dyDescent="0.25">
      <c r="B3" s="32" t="s">
        <v>22</v>
      </c>
      <c r="C3" s="41" t="s">
        <v>10</v>
      </c>
      <c r="D3" s="42"/>
      <c r="G3" s="1"/>
      <c r="AW3" s="2">
        <f>IRR(AW4:AW113, 0.01)</f>
        <v>1.0643457968114056E-2</v>
      </c>
      <c r="AY3" s="2">
        <f>IRR(AY4:AY113, 0.01)</f>
        <v>1.1131832996449154E-2</v>
      </c>
    </row>
    <row r="4" spans="2:54" ht="42.75" customHeight="1" x14ac:dyDescent="0.5">
      <c r="B4" s="34" t="s">
        <v>20</v>
      </c>
      <c r="C4" s="43">
        <v>124000</v>
      </c>
      <c r="D4" s="44"/>
      <c r="E4" s="30" t="s">
        <v>8</v>
      </c>
      <c r="F4" s="33" t="s">
        <v>17</v>
      </c>
      <c r="G4" s="38">
        <f>((C4-D5-D6)+D7+D8)/(C10*12)</f>
        <v>2080.1</v>
      </c>
      <c r="AV4">
        <v>0</v>
      </c>
      <c r="AW4" s="3">
        <f>-(C4-D5)</f>
        <v>-111600</v>
      </c>
      <c r="AX4" s="3"/>
      <c r="AY4" s="3">
        <f>-(C4-D5-D9-VLOOKUP(C3,BA4:BB5,2,0))</f>
        <v>-109834</v>
      </c>
      <c r="BA4" s="19" t="s">
        <v>9</v>
      </c>
      <c r="BB4" s="10">
        <v>500</v>
      </c>
    </row>
    <row r="5" spans="2:54" ht="23.25" thickBot="1" x14ac:dyDescent="0.55000000000000004">
      <c r="B5" s="32" t="s">
        <v>11</v>
      </c>
      <c r="C5" s="4">
        <v>0.1</v>
      </c>
      <c r="D5" s="28">
        <f>C4*C5</f>
        <v>12400</v>
      </c>
      <c r="E5" s="31">
        <f>D5+D9+(VLOOKUP(C3,BA4:BB5,2,0))</f>
        <v>14166</v>
      </c>
      <c r="J5" s="45"/>
      <c r="K5" s="6"/>
      <c r="L5" s="6"/>
      <c r="M5" s="6"/>
      <c r="N5" s="49"/>
      <c r="O5" s="49"/>
      <c r="P5" s="49"/>
      <c r="AV5">
        <v>1</v>
      </c>
      <c r="AW5" s="7">
        <f t="shared" ref="AW5:AW36" si="0">IF(AV5&gt;($C$10*12),"",IF(AV5=($C$10*12),$G$4+$D$6,$G$4))</f>
        <v>2080.1</v>
      </c>
      <c r="AY5" s="8">
        <f>AW5</f>
        <v>2080.1</v>
      </c>
      <c r="BA5" s="19" t="s">
        <v>10</v>
      </c>
      <c r="BB5" s="10">
        <v>650</v>
      </c>
    </row>
    <row r="6" spans="2:54" ht="22.5" x14ac:dyDescent="0.5">
      <c r="B6" s="32" t="s">
        <v>12</v>
      </c>
      <c r="C6" s="4">
        <v>0.3</v>
      </c>
      <c r="D6" s="5">
        <f>C4*C6</f>
        <v>37200</v>
      </c>
      <c r="F6" s="35" t="s">
        <v>18</v>
      </c>
      <c r="G6" s="36">
        <f>(G4*C10*12)+E5+D6</f>
        <v>176172</v>
      </c>
      <c r="J6" s="45"/>
      <c r="K6" s="6"/>
      <c r="L6" s="6"/>
      <c r="M6" s="6"/>
      <c r="N6" s="49"/>
      <c r="O6" s="49"/>
      <c r="P6" s="49"/>
      <c r="AV6">
        <v>2</v>
      </c>
      <c r="AW6" s="7">
        <f t="shared" si="0"/>
        <v>2080.1</v>
      </c>
      <c r="AY6" s="8">
        <f t="shared" ref="AY6:AY69" si="1">AW6</f>
        <v>2080.1</v>
      </c>
    </row>
    <row r="7" spans="2:54" ht="22.5" x14ac:dyDescent="0.5">
      <c r="B7" s="32" t="s">
        <v>13</v>
      </c>
      <c r="C7" s="9">
        <v>5.7000000000000002E-2</v>
      </c>
      <c r="D7" s="10">
        <f>(C4-D5)*C7*C10</f>
        <v>31806</v>
      </c>
      <c r="J7" s="11"/>
      <c r="K7" s="12"/>
      <c r="L7" s="13"/>
      <c r="M7" s="13"/>
      <c r="N7" s="14"/>
      <c r="O7" s="15"/>
      <c r="P7" s="15"/>
      <c r="AV7">
        <v>3</v>
      </c>
      <c r="AW7" s="7">
        <f t="shared" si="0"/>
        <v>2080.1</v>
      </c>
      <c r="AY7" s="8">
        <f t="shared" si="1"/>
        <v>2080.1</v>
      </c>
    </row>
    <row r="8" spans="2:54" ht="21.75" customHeight="1" x14ac:dyDescent="0.5">
      <c r="B8" s="32" t="s">
        <v>14</v>
      </c>
      <c r="C8" s="9">
        <v>0.03</v>
      </c>
      <c r="D8" s="10">
        <f>C4*C8*C10</f>
        <v>18600</v>
      </c>
      <c r="J8" s="11"/>
      <c r="K8" s="12"/>
      <c r="L8" s="13"/>
      <c r="M8" s="13"/>
      <c r="N8" s="14"/>
      <c r="O8" s="15"/>
      <c r="P8" s="15"/>
      <c r="AV8">
        <v>4</v>
      </c>
      <c r="AW8" s="7">
        <f t="shared" si="0"/>
        <v>2080.1</v>
      </c>
      <c r="AY8" s="8">
        <f t="shared" si="1"/>
        <v>2080.1</v>
      </c>
    </row>
    <row r="9" spans="2:54" ht="22.5" x14ac:dyDescent="0.5">
      <c r="B9" s="32" t="s">
        <v>15</v>
      </c>
      <c r="C9" s="16">
        <v>0.01</v>
      </c>
      <c r="D9" s="10">
        <f>(C4-D5)*C9</f>
        <v>1116</v>
      </c>
      <c r="J9" s="11"/>
      <c r="K9" s="12"/>
      <c r="L9" s="13"/>
      <c r="M9" s="13"/>
      <c r="N9" s="14"/>
      <c r="O9" s="15"/>
      <c r="P9" s="15"/>
      <c r="AV9">
        <v>5</v>
      </c>
      <c r="AW9" s="7">
        <f t="shared" si="0"/>
        <v>2080.1</v>
      </c>
      <c r="AY9" s="8">
        <f t="shared" si="1"/>
        <v>2080.1</v>
      </c>
    </row>
    <row r="10" spans="2:54" ht="21.75" customHeight="1" x14ac:dyDescent="0.5">
      <c r="B10" s="32" t="s">
        <v>16</v>
      </c>
      <c r="C10" s="17">
        <v>5</v>
      </c>
      <c r="D10" s="37" t="s">
        <v>21</v>
      </c>
      <c r="J10" s="11"/>
      <c r="K10" s="12"/>
      <c r="L10" s="13"/>
      <c r="M10" s="13"/>
      <c r="N10" s="14"/>
      <c r="O10" s="15"/>
      <c r="P10" s="15"/>
      <c r="AV10">
        <v>6</v>
      </c>
      <c r="AW10" s="7">
        <f t="shared" si="0"/>
        <v>2080.1</v>
      </c>
      <c r="AY10" s="8">
        <f t="shared" si="1"/>
        <v>2080.1</v>
      </c>
    </row>
    <row r="11" spans="2:54" ht="22.5" x14ac:dyDescent="0.5">
      <c r="B11" s="18" t="s">
        <v>0</v>
      </c>
      <c r="C11" s="50">
        <f>((D7+D8)/(C4-D5))/C10</f>
        <v>9.0333333333333335E-2</v>
      </c>
      <c r="D11" s="50"/>
      <c r="J11" s="11"/>
      <c r="K11" s="12"/>
      <c r="L11" s="13"/>
      <c r="M11" s="13"/>
      <c r="N11" s="14"/>
      <c r="O11" s="15"/>
      <c r="P11" s="15"/>
      <c r="AV11">
        <v>7</v>
      </c>
      <c r="AW11" s="7">
        <f t="shared" si="0"/>
        <v>2080.1</v>
      </c>
      <c r="AY11" s="8">
        <f t="shared" si="1"/>
        <v>2080.1</v>
      </c>
    </row>
    <row r="12" spans="2:54" ht="21.75" customHeight="1" x14ac:dyDescent="0.5">
      <c r="B12" s="18" t="s">
        <v>1</v>
      </c>
      <c r="C12" s="39">
        <f>(AY3+1)^12-1</f>
        <v>0.14207177758703793</v>
      </c>
      <c r="D12" s="40"/>
      <c r="J12" s="11"/>
      <c r="K12" s="12"/>
      <c r="L12" s="13"/>
      <c r="M12" s="13"/>
      <c r="N12" s="14"/>
      <c r="O12" s="15"/>
      <c r="P12" s="15"/>
      <c r="AV12">
        <v>8</v>
      </c>
      <c r="AW12" s="7">
        <f t="shared" si="0"/>
        <v>2080.1</v>
      </c>
      <c r="AY12" s="8">
        <f t="shared" si="1"/>
        <v>2080.1</v>
      </c>
    </row>
    <row r="13" spans="2:54" ht="21.75" customHeight="1" x14ac:dyDescent="0.5">
      <c r="J13" s="11"/>
      <c r="K13" s="12"/>
      <c r="L13" s="13"/>
      <c r="M13" s="13"/>
      <c r="N13" s="14"/>
      <c r="O13" s="15"/>
      <c r="P13" s="15"/>
      <c r="AV13">
        <v>9</v>
      </c>
      <c r="AW13" s="7">
        <f t="shared" si="0"/>
        <v>2080.1</v>
      </c>
      <c r="AY13" s="8">
        <f t="shared" si="1"/>
        <v>2080.1</v>
      </c>
    </row>
    <row r="14" spans="2:54" ht="22.5" hidden="1" x14ac:dyDescent="0.5">
      <c r="J14" s="11"/>
      <c r="K14" s="12"/>
      <c r="L14" s="13"/>
      <c r="M14" s="13"/>
      <c r="N14" s="14"/>
      <c r="O14" s="15"/>
      <c r="P14" s="15"/>
      <c r="AV14">
        <v>10</v>
      </c>
      <c r="AW14" s="7">
        <f t="shared" si="0"/>
        <v>2080.1</v>
      </c>
      <c r="AY14" s="8">
        <f t="shared" si="1"/>
        <v>2080.1</v>
      </c>
    </row>
    <row r="15" spans="2:54" ht="22.5" hidden="1" customHeight="1" x14ac:dyDescent="0.5">
      <c r="J15" s="11"/>
      <c r="K15" s="12"/>
      <c r="L15" s="13"/>
      <c r="M15" s="13"/>
      <c r="N15" s="14"/>
      <c r="O15" s="15"/>
      <c r="P15" s="15"/>
      <c r="AV15">
        <v>11</v>
      </c>
      <c r="AW15" s="7">
        <f t="shared" si="0"/>
        <v>2080.1</v>
      </c>
      <c r="AY15" s="8">
        <f t="shared" si="1"/>
        <v>2080.1</v>
      </c>
    </row>
    <row r="16" spans="2:54" ht="22.5" hidden="1" customHeight="1" x14ac:dyDescent="0.5">
      <c r="J16" s="11"/>
      <c r="K16" s="12"/>
      <c r="L16" s="13"/>
      <c r="M16" s="13"/>
      <c r="N16" s="14"/>
      <c r="O16" s="15"/>
      <c r="P16" s="15"/>
      <c r="AV16">
        <v>12</v>
      </c>
      <c r="AW16" s="7">
        <f t="shared" si="0"/>
        <v>2080.1</v>
      </c>
      <c r="AY16" s="8">
        <f t="shared" si="1"/>
        <v>2080.1</v>
      </c>
    </row>
    <row r="17" spans="5:51" ht="22.5" hidden="1" customHeight="1" x14ac:dyDescent="0.5">
      <c r="E17" s="29"/>
      <c r="J17" s="11"/>
      <c r="K17" s="12"/>
      <c r="L17" s="13"/>
      <c r="M17" s="13"/>
      <c r="N17" s="14"/>
      <c r="O17" s="15"/>
      <c r="P17" s="15"/>
      <c r="AV17">
        <v>13</v>
      </c>
      <c r="AW17" s="7">
        <f t="shared" si="0"/>
        <v>2080.1</v>
      </c>
      <c r="AY17" s="8">
        <f t="shared" si="1"/>
        <v>2080.1</v>
      </c>
    </row>
    <row r="18" spans="5:51" ht="22.5" hidden="1" x14ac:dyDescent="0.5">
      <c r="J18" s="11"/>
      <c r="K18" s="12"/>
      <c r="L18" s="13"/>
      <c r="M18" s="13"/>
      <c r="N18" s="14"/>
      <c r="O18" s="15"/>
      <c r="P18" s="15"/>
      <c r="AV18">
        <v>14</v>
      </c>
      <c r="AW18" s="7">
        <f t="shared" si="0"/>
        <v>2080.1</v>
      </c>
      <c r="AY18" s="8">
        <f t="shared" si="1"/>
        <v>2080.1</v>
      </c>
    </row>
    <row r="19" spans="5:51" ht="22.5" hidden="1" x14ac:dyDescent="0.5">
      <c r="J19" s="11"/>
      <c r="K19" s="12"/>
      <c r="L19" s="13"/>
      <c r="M19" s="13"/>
      <c r="N19" s="14"/>
      <c r="O19" s="15"/>
      <c r="P19" s="15"/>
      <c r="AV19">
        <v>15</v>
      </c>
      <c r="AW19" s="7">
        <f t="shared" si="0"/>
        <v>2080.1</v>
      </c>
      <c r="AY19" s="8">
        <f t="shared" si="1"/>
        <v>2080.1</v>
      </c>
    </row>
    <row r="20" spans="5:51" ht="22.5" hidden="1" x14ac:dyDescent="0.5">
      <c r="J20" s="11"/>
      <c r="K20" s="12"/>
      <c r="L20" s="13"/>
      <c r="M20" s="13"/>
      <c r="N20" s="14"/>
      <c r="O20" s="15"/>
      <c r="P20" s="15"/>
      <c r="AV20">
        <v>16</v>
      </c>
      <c r="AW20" s="7">
        <f t="shared" si="0"/>
        <v>2080.1</v>
      </c>
      <c r="AY20" s="8">
        <f t="shared" si="1"/>
        <v>2080.1</v>
      </c>
    </row>
    <row r="21" spans="5:51" ht="22.5" hidden="1" x14ac:dyDescent="0.5">
      <c r="J21" s="11"/>
      <c r="K21" s="12"/>
      <c r="L21" s="13"/>
      <c r="M21" s="13"/>
      <c r="N21" s="14"/>
      <c r="O21" s="15"/>
      <c r="P21" s="15"/>
      <c r="AV21">
        <v>17</v>
      </c>
      <c r="AW21" s="7">
        <f t="shared" si="0"/>
        <v>2080.1</v>
      </c>
      <c r="AY21" s="8">
        <f t="shared" si="1"/>
        <v>2080.1</v>
      </c>
    </row>
    <row r="22" spans="5:51" ht="22.5" hidden="1" x14ac:dyDescent="0.5">
      <c r="J22" s="11"/>
      <c r="K22" s="12"/>
      <c r="L22" s="13"/>
      <c r="M22" s="13"/>
      <c r="N22" s="14"/>
      <c r="O22" s="15"/>
      <c r="P22" s="15"/>
      <c r="AV22">
        <v>18</v>
      </c>
      <c r="AW22" s="7">
        <f t="shared" si="0"/>
        <v>2080.1</v>
      </c>
      <c r="AY22" s="8">
        <f t="shared" si="1"/>
        <v>2080.1</v>
      </c>
    </row>
    <row r="23" spans="5:51" ht="22.5" hidden="1" x14ac:dyDescent="0.5">
      <c r="J23" s="20"/>
      <c r="K23" s="21"/>
      <c r="L23" s="22"/>
      <c r="M23" s="22"/>
      <c r="N23" s="22"/>
      <c r="O23" s="23"/>
      <c r="P23" s="23"/>
      <c r="AV23">
        <v>19</v>
      </c>
      <c r="AW23" s="7">
        <f t="shared" si="0"/>
        <v>2080.1</v>
      </c>
      <c r="AY23" s="8">
        <f t="shared" si="1"/>
        <v>2080.1</v>
      </c>
    </row>
    <row r="24" spans="5:51" ht="22.5" hidden="1" x14ac:dyDescent="0.5">
      <c r="AV24">
        <v>20</v>
      </c>
      <c r="AW24" s="7">
        <f t="shared" si="0"/>
        <v>2080.1</v>
      </c>
      <c r="AY24" s="8">
        <f t="shared" si="1"/>
        <v>2080.1</v>
      </c>
    </row>
    <row r="25" spans="5:51" ht="22.5" hidden="1" x14ac:dyDescent="0.5">
      <c r="AV25">
        <v>21</v>
      </c>
      <c r="AW25" s="7">
        <f t="shared" si="0"/>
        <v>2080.1</v>
      </c>
      <c r="AY25" s="8">
        <f t="shared" si="1"/>
        <v>2080.1</v>
      </c>
    </row>
    <row r="26" spans="5:51" ht="22.5" hidden="1" x14ac:dyDescent="0.5">
      <c r="AV26">
        <v>22</v>
      </c>
      <c r="AW26" s="7">
        <f t="shared" si="0"/>
        <v>2080.1</v>
      </c>
      <c r="AY26" s="8">
        <f t="shared" si="1"/>
        <v>2080.1</v>
      </c>
    </row>
    <row r="27" spans="5:51" ht="22.5" hidden="1" x14ac:dyDescent="0.5">
      <c r="AV27">
        <v>23</v>
      </c>
      <c r="AW27" s="7">
        <f t="shared" si="0"/>
        <v>2080.1</v>
      </c>
      <c r="AY27" s="8">
        <f t="shared" si="1"/>
        <v>2080.1</v>
      </c>
    </row>
    <row r="28" spans="5:51" ht="22.5" hidden="1" x14ac:dyDescent="0.5">
      <c r="AV28">
        <v>24</v>
      </c>
      <c r="AW28" s="7">
        <f t="shared" si="0"/>
        <v>2080.1</v>
      </c>
      <c r="AY28" s="8">
        <f t="shared" si="1"/>
        <v>2080.1</v>
      </c>
    </row>
    <row r="29" spans="5:51" ht="22.5" hidden="1" x14ac:dyDescent="0.5">
      <c r="AV29">
        <v>25</v>
      </c>
      <c r="AW29" s="7">
        <f t="shared" si="0"/>
        <v>2080.1</v>
      </c>
      <c r="AY29" s="8">
        <f t="shared" si="1"/>
        <v>2080.1</v>
      </c>
    </row>
    <row r="30" spans="5:51" ht="22.5" hidden="1" x14ac:dyDescent="0.5">
      <c r="AV30">
        <v>26</v>
      </c>
      <c r="AW30" s="7">
        <f t="shared" si="0"/>
        <v>2080.1</v>
      </c>
      <c r="AY30" s="8">
        <f t="shared" si="1"/>
        <v>2080.1</v>
      </c>
    </row>
    <row r="31" spans="5:51" ht="22.5" hidden="1" x14ac:dyDescent="0.5">
      <c r="AV31">
        <v>27</v>
      </c>
      <c r="AW31" s="7">
        <f t="shared" si="0"/>
        <v>2080.1</v>
      </c>
      <c r="AY31" s="8">
        <f t="shared" si="1"/>
        <v>2080.1</v>
      </c>
    </row>
    <row r="32" spans="5:51" ht="22.5" hidden="1" x14ac:dyDescent="0.5">
      <c r="AV32">
        <v>28</v>
      </c>
      <c r="AW32" s="7">
        <f t="shared" si="0"/>
        <v>2080.1</v>
      </c>
      <c r="AY32" s="8">
        <f t="shared" si="1"/>
        <v>2080.1</v>
      </c>
    </row>
    <row r="33" spans="7:51" ht="22.5" hidden="1" x14ac:dyDescent="0.5">
      <c r="AV33">
        <v>29</v>
      </c>
      <c r="AW33" s="7">
        <f t="shared" si="0"/>
        <v>2080.1</v>
      </c>
      <c r="AY33" s="8">
        <f t="shared" si="1"/>
        <v>2080.1</v>
      </c>
    </row>
    <row r="34" spans="7:51" ht="22.5" hidden="1" x14ac:dyDescent="0.5">
      <c r="AV34">
        <v>30</v>
      </c>
      <c r="AW34" s="7">
        <f t="shared" si="0"/>
        <v>2080.1</v>
      </c>
      <c r="AY34" s="8">
        <f t="shared" si="1"/>
        <v>2080.1</v>
      </c>
    </row>
    <row r="35" spans="7:51" ht="22.5" hidden="1" x14ac:dyDescent="0.5">
      <c r="AV35">
        <v>31</v>
      </c>
      <c r="AW35" s="7">
        <f t="shared" si="0"/>
        <v>2080.1</v>
      </c>
      <c r="AY35" s="8">
        <f t="shared" si="1"/>
        <v>2080.1</v>
      </c>
    </row>
    <row r="36" spans="7:51" ht="22.5" hidden="1" x14ac:dyDescent="0.5">
      <c r="AV36">
        <v>32</v>
      </c>
      <c r="AW36" s="7">
        <f t="shared" si="0"/>
        <v>2080.1</v>
      </c>
      <c r="AY36" s="8">
        <f t="shared" si="1"/>
        <v>2080.1</v>
      </c>
    </row>
    <row r="37" spans="7:51" ht="22.5" hidden="1" x14ac:dyDescent="0.5">
      <c r="AV37">
        <v>33</v>
      </c>
      <c r="AW37" s="7">
        <f t="shared" ref="AW37:AW68" si="2">IF(AV37&gt;($C$10*12),"",IF(AV37=($C$10*12),$G$4+$D$6,$G$4))</f>
        <v>2080.1</v>
      </c>
      <c r="AY37" s="8">
        <f t="shared" si="1"/>
        <v>2080.1</v>
      </c>
    </row>
    <row r="38" spans="7:51" ht="22.5" hidden="1" x14ac:dyDescent="0.5">
      <c r="G38" s="24"/>
      <c r="H38" s="24"/>
      <c r="I38" s="25"/>
      <c r="AV38">
        <v>34</v>
      </c>
      <c r="AW38" s="7">
        <f t="shared" si="2"/>
        <v>2080.1</v>
      </c>
      <c r="AY38" s="8">
        <f t="shared" si="1"/>
        <v>2080.1</v>
      </c>
    </row>
    <row r="39" spans="7:51" ht="22.5" hidden="1" x14ac:dyDescent="0.5">
      <c r="AV39">
        <v>35</v>
      </c>
      <c r="AW39" s="7">
        <f t="shared" si="2"/>
        <v>2080.1</v>
      </c>
      <c r="AY39" s="8">
        <f t="shared" si="1"/>
        <v>2080.1</v>
      </c>
    </row>
    <row r="40" spans="7:51" ht="22.5" hidden="1" x14ac:dyDescent="0.5">
      <c r="AV40">
        <v>36</v>
      </c>
      <c r="AW40" s="7">
        <f t="shared" si="2"/>
        <v>2080.1</v>
      </c>
      <c r="AY40" s="8">
        <f t="shared" si="1"/>
        <v>2080.1</v>
      </c>
    </row>
    <row r="41" spans="7:51" ht="22.5" hidden="1" x14ac:dyDescent="0.5">
      <c r="AV41">
        <v>37</v>
      </c>
      <c r="AW41" s="7">
        <f t="shared" si="2"/>
        <v>2080.1</v>
      </c>
      <c r="AY41" s="8">
        <f t="shared" si="1"/>
        <v>2080.1</v>
      </c>
    </row>
    <row r="42" spans="7:51" ht="22.5" hidden="1" x14ac:dyDescent="0.5">
      <c r="AV42">
        <v>38</v>
      </c>
      <c r="AW42" s="7">
        <f t="shared" si="2"/>
        <v>2080.1</v>
      </c>
      <c r="AY42" s="8">
        <f t="shared" si="1"/>
        <v>2080.1</v>
      </c>
    </row>
    <row r="43" spans="7:51" ht="22.5" hidden="1" x14ac:dyDescent="0.5">
      <c r="AV43">
        <v>39</v>
      </c>
      <c r="AW43" s="7">
        <f t="shared" si="2"/>
        <v>2080.1</v>
      </c>
      <c r="AY43" s="8">
        <f t="shared" si="1"/>
        <v>2080.1</v>
      </c>
    </row>
    <row r="44" spans="7:51" ht="22.5" hidden="1" x14ac:dyDescent="0.5">
      <c r="AV44">
        <v>40</v>
      </c>
      <c r="AW44" s="7">
        <f t="shared" si="2"/>
        <v>2080.1</v>
      </c>
      <c r="AY44" s="8">
        <f t="shared" si="1"/>
        <v>2080.1</v>
      </c>
    </row>
    <row r="45" spans="7:51" ht="22.5" hidden="1" x14ac:dyDescent="0.5">
      <c r="AV45">
        <v>41</v>
      </c>
      <c r="AW45" s="7">
        <f t="shared" si="2"/>
        <v>2080.1</v>
      </c>
      <c r="AY45" s="8">
        <f t="shared" si="1"/>
        <v>2080.1</v>
      </c>
    </row>
    <row r="46" spans="7:51" ht="22.5" hidden="1" x14ac:dyDescent="0.5">
      <c r="AV46">
        <v>42</v>
      </c>
      <c r="AW46" s="7">
        <f t="shared" si="2"/>
        <v>2080.1</v>
      </c>
      <c r="AY46" s="8">
        <f t="shared" si="1"/>
        <v>2080.1</v>
      </c>
    </row>
    <row r="47" spans="7:51" ht="22.5" hidden="1" x14ac:dyDescent="0.5">
      <c r="AV47">
        <v>43</v>
      </c>
      <c r="AW47" s="7">
        <f t="shared" si="2"/>
        <v>2080.1</v>
      </c>
      <c r="AY47" s="8">
        <f t="shared" si="1"/>
        <v>2080.1</v>
      </c>
    </row>
    <row r="48" spans="7:51" ht="22.5" hidden="1" x14ac:dyDescent="0.5">
      <c r="AV48">
        <v>44</v>
      </c>
      <c r="AW48" s="7">
        <f t="shared" si="2"/>
        <v>2080.1</v>
      </c>
      <c r="AY48" s="8">
        <f t="shared" si="1"/>
        <v>2080.1</v>
      </c>
    </row>
    <row r="49" spans="48:51" ht="22.5" hidden="1" x14ac:dyDescent="0.5">
      <c r="AV49">
        <v>45</v>
      </c>
      <c r="AW49" s="7">
        <f t="shared" si="2"/>
        <v>2080.1</v>
      </c>
      <c r="AY49" s="8">
        <f t="shared" si="1"/>
        <v>2080.1</v>
      </c>
    </row>
    <row r="50" spans="48:51" ht="22.5" hidden="1" x14ac:dyDescent="0.5">
      <c r="AV50">
        <v>46</v>
      </c>
      <c r="AW50" s="7">
        <f t="shared" si="2"/>
        <v>2080.1</v>
      </c>
      <c r="AY50" s="8">
        <f t="shared" si="1"/>
        <v>2080.1</v>
      </c>
    </row>
    <row r="51" spans="48:51" ht="22.5" hidden="1" x14ac:dyDescent="0.5">
      <c r="AV51">
        <v>47</v>
      </c>
      <c r="AW51" s="7">
        <f t="shared" si="2"/>
        <v>2080.1</v>
      </c>
      <c r="AY51" s="8">
        <f t="shared" si="1"/>
        <v>2080.1</v>
      </c>
    </row>
    <row r="52" spans="48:51" ht="22.5" hidden="1" x14ac:dyDescent="0.5">
      <c r="AV52">
        <v>48</v>
      </c>
      <c r="AW52" s="7">
        <f t="shared" si="2"/>
        <v>2080.1</v>
      </c>
      <c r="AY52" s="8">
        <f t="shared" si="1"/>
        <v>2080.1</v>
      </c>
    </row>
    <row r="53" spans="48:51" ht="22.5" hidden="1" x14ac:dyDescent="0.5">
      <c r="AV53">
        <v>49</v>
      </c>
      <c r="AW53" s="7">
        <f t="shared" si="2"/>
        <v>2080.1</v>
      </c>
      <c r="AY53" s="8">
        <f t="shared" si="1"/>
        <v>2080.1</v>
      </c>
    </row>
    <row r="54" spans="48:51" ht="22.5" hidden="1" x14ac:dyDescent="0.5">
      <c r="AV54">
        <v>50</v>
      </c>
      <c r="AW54" s="7">
        <f t="shared" si="2"/>
        <v>2080.1</v>
      </c>
      <c r="AY54" s="8">
        <f t="shared" si="1"/>
        <v>2080.1</v>
      </c>
    </row>
    <row r="55" spans="48:51" ht="22.5" hidden="1" x14ac:dyDescent="0.5">
      <c r="AV55">
        <v>51</v>
      </c>
      <c r="AW55" s="7">
        <f t="shared" si="2"/>
        <v>2080.1</v>
      </c>
      <c r="AY55" s="8">
        <f t="shared" si="1"/>
        <v>2080.1</v>
      </c>
    </row>
    <row r="56" spans="48:51" ht="22.5" hidden="1" x14ac:dyDescent="0.5">
      <c r="AV56">
        <v>52</v>
      </c>
      <c r="AW56" s="7">
        <f t="shared" si="2"/>
        <v>2080.1</v>
      </c>
      <c r="AY56" s="8">
        <f t="shared" si="1"/>
        <v>2080.1</v>
      </c>
    </row>
    <row r="57" spans="48:51" ht="22.5" hidden="1" x14ac:dyDescent="0.5">
      <c r="AV57">
        <v>53</v>
      </c>
      <c r="AW57" s="7">
        <f t="shared" si="2"/>
        <v>2080.1</v>
      </c>
      <c r="AY57" s="8">
        <f t="shared" si="1"/>
        <v>2080.1</v>
      </c>
    </row>
    <row r="58" spans="48:51" ht="22.5" hidden="1" x14ac:dyDescent="0.5">
      <c r="AV58">
        <v>54</v>
      </c>
      <c r="AW58" s="7">
        <f t="shared" si="2"/>
        <v>2080.1</v>
      </c>
      <c r="AY58" s="8">
        <f t="shared" si="1"/>
        <v>2080.1</v>
      </c>
    </row>
    <row r="59" spans="48:51" ht="22.5" hidden="1" x14ac:dyDescent="0.5">
      <c r="AV59">
        <v>55</v>
      </c>
      <c r="AW59" s="7">
        <f t="shared" si="2"/>
        <v>2080.1</v>
      </c>
      <c r="AY59" s="8">
        <f t="shared" si="1"/>
        <v>2080.1</v>
      </c>
    </row>
    <row r="60" spans="48:51" ht="22.5" hidden="1" x14ac:dyDescent="0.5">
      <c r="AV60">
        <v>56</v>
      </c>
      <c r="AW60" s="7">
        <f t="shared" si="2"/>
        <v>2080.1</v>
      </c>
      <c r="AY60" s="8">
        <f t="shared" si="1"/>
        <v>2080.1</v>
      </c>
    </row>
    <row r="61" spans="48:51" ht="22.5" hidden="1" x14ac:dyDescent="0.5">
      <c r="AV61">
        <v>57</v>
      </c>
      <c r="AW61" s="7">
        <f t="shared" si="2"/>
        <v>2080.1</v>
      </c>
      <c r="AY61" s="8">
        <f t="shared" si="1"/>
        <v>2080.1</v>
      </c>
    </row>
    <row r="62" spans="48:51" ht="22.5" hidden="1" x14ac:dyDescent="0.5">
      <c r="AV62">
        <v>58</v>
      </c>
      <c r="AW62" s="7">
        <f t="shared" si="2"/>
        <v>2080.1</v>
      </c>
      <c r="AY62" s="8">
        <f t="shared" si="1"/>
        <v>2080.1</v>
      </c>
    </row>
    <row r="63" spans="48:51" ht="22.5" hidden="1" x14ac:dyDescent="0.5">
      <c r="AV63">
        <v>59</v>
      </c>
      <c r="AW63" s="7">
        <f t="shared" si="2"/>
        <v>2080.1</v>
      </c>
      <c r="AY63" s="8">
        <f t="shared" si="1"/>
        <v>2080.1</v>
      </c>
    </row>
    <row r="64" spans="48:51" ht="22.5" hidden="1" x14ac:dyDescent="0.5">
      <c r="AV64">
        <v>60</v>
      </c>
      <c r="AW64" s="7">
        <f t="shared" si="2"/>
        <v>39280.1</v>
      </c>
      <c r="AY64" s="8">
        <f t="shared" si="1"/>
        <v>39280.1</v>
      </c>
    </row>
    <row r="65" spans="6:51" ht="22.5" hidden="1" x14ac:dyDescent="0.5">
      <c r="AV65">
        <v>61</v>
      </c>
      <c r="AW65" s="7" t="str">
        <f t="shared" si="2"/>
        <v/>
      </c>
      <c r="AY65" s="8" t="str">
        <f t="shared" si="1"/>
        <v/>
      </c>
    </row>
    <row r="66" spans="6:51" ht="22.5" hidden="1" x14ac:dyDescent="0.5">
      <c r="AV66">
        <v>62</v>
      </c>
      <c r="AW66" s="7" t="str">
        <f t="shared" si="2"/>
        <v/>
      </c>
      <c r="AY66" s="8" t="str">
        <f t="shared" si="1"/>
        <v/>
      </c>
    </row>
    <row r="67" spans="6:51" ht="22.5" hidden="1" x14ac:dyDescent="0.5">
      <c r="AV67">
        <v>63</v>
      </c>
      <c r="AW67" s="7" t="str">
        <f t="shared" si="2"/>
        <v/>
      </c>
      <c r="AY67" s="8" t="str">
        <f t="shared" si="1"/>
        <v/>
      </c>
    </row>
    <row r="68" spans="6:51" ht="22.5" hidden="1" x14ac:dyDescent="0.5">
      <c r="H68" t="s">
        <v>2</v>
      </c>
      <c r="I68" t="s">
        <v>3</v>
      </c>
      <c r="AV68">
        <v>64</v>
      </c>
      <c r="AW68" s="7" t="str">
        <f t="shared" si="2"/>
        <v/>
      </c>
      <c r="AY68" s="8" t="str">
        <f t="shared" si="1"/>
        <v/>
      </c>
    </row>
    <row r="69" spans="6:51" ht="22.5" hidden="1" x14ac:dyDescent="0.5">
      <c r="H69">
        <v>2100</v>
      </c>
      <c r="I69" s="25">
        <v>1.5E-3</v>
      </c>
      <c r="AV69">
        <v>65</v>
      </c>
      <c r="AW69" s="7" t="str">
        <f t="shared" ref="AW69:AW92" si="3">IF(AV69&gt;($C$10*12),"",IF(AV69=($C$10*12),$G$4+$D$6,$G$4))</f>
        <v/>
      </c>
      <c r="AY69" s="8" t="str">
        <f t="shared" si="1"/>
        <v/>
      </c>
    </row>
    <row r="70" spans="6:51" ht="22.5" hidden="1" x14ac:dyDescent="0.5">
      <c r="AV70">
        <v>66</v>
      </c>
      <c r="AW70" s="7" t="str">
        <f t="shared" si="3"/>
        <v/>
      </c>
      <c r="AY70" s="8" t="str">
        <f t="shared" ref="AY70:AY92" si="4">AW70</f>
        <v/>
      </c>
    </row>
    <row r="71" spans="6:51" ht="22.5" hidden="1" x14ac:dyDescent="0.5">
      <c r="AV71">
        <v>67</v>
      </c>
      <c r="AW71" s="7" t="str">
        <f t="shared" si="3"/>
        <v/>
      </c>
      <c r="AY71" s="8" t="str">
        <f t="shared" si="4"/>
        <v/>
      </c>
    </row>
    <row r="72" spans="6:51" ht="22.5" hidden="1" x14ac:dyDescent="0.5">
      <c r="G72" t="s">
        <v>4</v>
      </c>
      <c r="H72" t="s">
        <v>5</v>
      </c>
      <c r="I72" t="s">
        <v>6</v>
      </c>
      <c r="AV72">
        <v>68</v>
      </c>
      <c r="AW72" s="7" t="str">
        <f t="shared" si="3"/>
        <v/>
      </c>
      <c r="AY72" s="8" t="str">
        <f t="shared" si="4"/>
        <v/>
      </c>
    </row>
    <row r="73" spans="6:51" ht="22.5" hidden="1" x14ac:dyDescent="0.5">
      <c r="F73">
        <v>1</v>
      </c>
      <c r="G73" s="24">
        <f>C4</f>
        <v>124000</v>
      </c>
      <c r="H73" s="26">
        <f>IF(G73*I73&lt;$H$69,$H$69,(G73*I73))</f>
        <v>5084</v>
      </c>
      <c r="I73" s="25">
        <v>4.1000000000000002E-2</v>
      </c>
      <c r="AV73">
        <v>69</v>
      </c>
      <c r="AW73" s="7" t="str">
        <f t="shared" si="3"/>
        <v/>
      </c>
      <c r="AY73" s="8" t="str">
        <f t="shared" si="4"/>
        <v/>
      </c>
    </row>
    <row r="74" spans="6:51" ht="22.5" hidden="1" x14ac:dyDescent="0.5">
      <c r="F74">
        <v>2</v>
      </c>
      <c r="G74" s="24">
        <f>G73*0.8</f>
        <v>99200</v>
      </c>
      <c r="H74" s="26">
        <f>IF(G74*I74&lt;$H$69,$H$69,(G74*I74))</f>
        <v>4216</v>
      </c>
      <c r="I74" s="25">
        <f>I73+$I$69</f>
        <v>4.2500000000000003E-2</v>
      </c>
      <c r="AV74">
        <v>70</v>
      </c>
      <c r="AW74" s="7" t="str">
        <f t="shared" si="3"/>
        <v/>
      </c>
      <c r="AY74" s="8" t="str">
        <f t="shared" si="4"/>
        <v/>
      </c>
    </row>
    <row r="75" spans="6:51" ht="22.5" hidden="1" x14ac:dyDescent="0.5">
      <c r="F75">
        <v>3</v>
      </c>
      <c r="G75" s="24">
        <f>G73*0.65</f>
        <v>80600</v>
      </c>
      <c r="H75" s="26">
        <f>IF(G75*I75&lt;$H$69,$H$69,(G75*I75))</f>
        <v>3546.4000000000005</v>
      </c>
      <c r="I75" s="25">
        <f>I74+$I$69</f>
        <v>4.4000000000000004E-2</v>
      </c>
      <c r="AV75">
        <v>71</v>
      </c>
      <c r="AW75" s="7" t="str">
        <f t="shared" si="3"/>
        <v/>
      </c>
      <c r="AY75" s="8" t="str">
        <f t="shared" si="4"/>
        <v/>
      </c>
    </row>
    <row r="76" spans="6:51" ht="22.5" hidden="1" x14ac:dyDescent="0.5">
      <c r="F76">
        <v>4</v>
      </c>
      <c r="G76" s="24">
        <f>G73*0.5</f>
        <v>62000</v>
      </c>
      <c r="H76" s="26">
        <f>IF(G76*I76&lt;$H$69,$H$69,(G76*I76))</f>
        <v>2821.0000000000005</v>
      </c>
      <c r="I76" s="25">
        <f>I75+$I$69</f>
        <v>4.5500000000000006E-2</v>
      </c>
      <c r="AV76">
        <v>72</v>
      </c>
      <c r="AW76" s="7" t="str">
        <f t="shared" si="3"/>
        <v/>
      </c>
      <c r="AY76" s="8" t="str">
        <f t="shared" si="4"/>
        <v/>
      </c>
    </row>
    <row r="77" spans="6:51" ht="22.5" hidden="1" x14ac:dyDescent="0.5">
      <c r="F77">
        <v>5</v>
      </c>
      <c r="G77" s="24">
        <f>G73*0.35</f>
        <v>43400</v>
      </c>
      <c r="H77" s="26">
        <f>IF(G77*I77&lt;$H$69,$H$69,(G77*I77))</f>
        <v>2100</v>
      </c>
      <c r="I77" s="25">
        <f>I76+$I$69</f>
        <v>4.7000000000000007E-2</v>
      </c>
      <c r="AV77">
        <v>73</v>
      </c>
      <c r="AW77" s="7" t="str">
        <f t="shared" si="3"/>
        <v/>
      </c>
      <c r="AY77" s="8" t="str">
        <f t="shared" si="4"/>
        <v/>
      </c>
    </row>
    <row r="78" spans="6:51" ht="22.5" hidden="1" x14ac:dyDescent="0.5">
      <c r="G78" t="s">
        <v>7</v>
      </c>
      <c r="H78" s="26">
        <f>IF(C10=1,H73, IF(C10=2, SUM(H73:H74), IF(C10=3, SUM(H73:H75), IF(C10=4, SUM(H73:H76), SUM(H73:H77)))))</f>
        <v>17767.400000000001</v>
      </c>
      <c r="AV78">
        <v>74</v>
      </c>
      <c r="AW78" s="7" t="str">
        <f t="shared" si="3"/>
        <v/>
      </c>
      <c r="AY78" s="8" t="str">
        <f t="shared" si="4"/>
        <v/>
      </c>
    </row>
    <row r="79" spans="6:51" ht="22.5" hidden="1" x14ac:dyDescent="0.5">
      <c r="H79" s="27">
        <f>(H78/G73)/C10</f>
        <v>2.8657096774193553E-2</v>
      </c>
      <c r="AV79">
        <v>75</v>
      </c>
      <c r="AW79" s="7" t="str">
        <f t="shared" si="3"/>
        <v/>
      </c>
      <c r="AY79" s="8" t="str">
        <f t="shared" si="4"/>
        <v/>
      </c>
    </row>
    <row r="80" spans="6:51" ht="22.5" hidden="1" x14ac:dyDescent="0.5">
      <c r="AV80">
        <v>76</v>
      </c>
      <c r="AW80" s="7" t="str">
        <f t="shared" si="3"/>
        <v/>
      </c>
      <c r="AY80" s="8" t="str">
        <f t="shared" si="4"/>
        <v/>
      </c>
    </row>
    <row r="81" spans="48:51" ht="22.5" hidden="1" x14ac:dyDescent="0.5">
      <c r="AV81">
        <v>77</v>
      </c>
      <c r="AW81" s="7" t="str">
        <f t="shared" si="3"/>
        <v/>
      </c>
      <c r="AY81" s="8" t="str">
        <f t="shared" si="4"/>
        <v/>
      </c>
    </row>
    <row r="82" spans="48:51" ht="22.5" hidden="1" x14ac:dyDescent="0.5">
      <c r="AV82">
        <v>78</v>
      </c>
      <c r="AW82" s="7" t="str">
        <f t="shared" si="3"/>
        <v/>
      </c>
      <c r="AY82" s="8" t="str">
        <f t="shared" si="4"/>
        <v/>
      </c>
    </row>
    <row r="83" spans="48:51" ht="22.5" hidden="1" x14ac:dyDescent="0.5">
      <c r="AV83">
        <v>79</v>
      </c>
      <c r="AW83" s="7" t="str">
        <f t="shared" si="3"/>
        <v/>
      </c>
      <c r="AY83" s="8" t="str">
        <f t="shared" si="4"/>
        <v/>
      </c>
    </row>
    <row r="84" spans="48:51" ht="22.5" hidden="1" x14ac:dyDescent="0.5">
      <c r="AV84">
        <v>80</v>
      </c>
      <c r="AW84" s="7" t="str">
        <f t="shared" si="3"/>
        <v/>
      </c>
      <c r="AY84" s="8" t="str">
        <f t="shared" si="4"/>
        <v/>
      </c>
    </row>
    <row r="85" spans="48:51" ht="22.5" hidden="1" x14ac:dyDescent="0.5">
      <c r="AV85">
        <v>81</v>
      </c>
      <c r="AW85" s="7" t="str">
        <f t="shared" si="3"/>
        <v/>
      </c>
      <c r="AY85" s="8" t="str">
        <f t="shared" si="4"/>
        <v/>
      </c>
    </row>
    <row r="86" spans="48:51" ht="22.5" hidden="1" x14ac:dyDescent="0.5">
      <c r="AV86">
        <v>82</v>
      </c>
      <c r="AW86" s="7" t="str">
        <f t="shared" si="3"/>
        <v/>
      </c>
      <c r="AY86" s="8" t="str">
        <f t="shared" si="4"/>
        <v/>
      </c>
    </row>
    <row r="87" spans="48:51" ht="22.5" hidden="1" x14ac:dyDescent="0.5">
      <c r="AV87">
        <v>83</v>
      </c>
      <c r="AW87" s="7" t="str">
        <f t="shared" si="3"/>
        <v/>
      </c>
      <c r="AY87" s="8" t="str">
        <f t="shared" si="4"/>
        <v/>
      </c>
    </row>
    <row r="88" spans="48:51" ht="22.5" hidden="1" x14ac:dyDescent="0.5">
      <c r="AV88">
        <v>84</v>
      </c>
      <c r="AW88" s="7" t="str">
        <f t="shared" si="3"/>
        <v/>
      </c>
      <c r="AY88" s="8" t="str">
        <f t="shared" si="4"/>
        <v/>
      </c>
    </row>
    <row r="89" spans="48:51" ht="22.5" hidden="1" x14ac:dyDescent="0.5">
      <c r="AV89">
        <v>85</v>
      </c>
      <c r="AW89" s="7" t="str">
        <f t="shared" si="3"/>
        <v/>
      </c>
      <c r="AY89" s="8" t="str">
        <f t="shared" si="4"/>
        <v/>
      </c>
    </row>
    <row r="90" spans="48:51" ht="22.5" hidden="1" x14ac:dyDescent="0.5">
      <c r="AV90">
        <v>86</v>
      </c>
      <c r="AW90" s="7" t="str">
        <f t="shared" si="3"/>
        <v/>
      </c>
      <c r="AY90" s="8" t="str">
        <f t="shared" si="4"/>
        <v/>
      </c>
    </row>
    <row r="91" spans="48:51" ht="22.5" hidden="1" x14ac:dyDescent="0.5">
      <c r="AV91">
        <v>87</v>
      </c>
      <c r="AW91" s="7" t="str">
        <f t="shared" si="3"/>
        <v/>
      </c>
      <c r="AY91" s="8" t="str">
        <f t="shared" si="4"/>
        <v/>
      </c>
    </row>
    <row r="92" spans="48:51" ht="22.5" hidden="1" x14ac:dyDescent="0.5">
      <c r="AV92">
        <v>88</v>
      </c>
      <c r="AW92" s="7" t="str">
        <f t="shared" si="3"/>
        <v/>
      </c>
      <c r="AY92" s="8" t="str">
        <f t="shared" si="4"/>
        <v/>
      </c>
    </row>
    <row r="93" spans="48:51" hidden="1" x14ac:dyDescent="0.2">
      <c r="AV93">
        <v>89</v>
      </c>
    </row>
    <row r="94" spans="48:51" hidden="1" x14ac:dyDescent="0.2">
      <c r="AV94">
        <v>90</v>
      </c>
    </row>
    <row r="95" spans="48:51" hidden="1" x14ac:dyDescent="0.2">
      <c r="AV95">
        <v>91</v>
      </c>
    </row>
    <row r="96" spans="48:51" hidden="1" x14ac:dyDescent="0.2">
      <c r="AV96">
        <v>92</v>
      </c>
    </row>
    <row r="97" spans="48:48" hidden="1" x14ac:dyDescent="0.2">
      <c r="AV97">
        <v>93</v>
      </c>
    </row>
    <row r="98" spans="48:48" hidden="1" x14ac:dyDescent="0.2">
      <c r="AV98">
        <v>94</v>
      </c>
    </row>
    <row r="99" spans="48:48" hidden="1" x14ac:dyDescent="0.2">
      <c r="AV99">
        <v>95</v>
      </c>
    </row>
    <row r="100" spans="48:48" hidden="1" x14ac:dyDescent="0.2">
      <c r="AV100">
        <v>96</v>
      </c>
    </row>
    <row r="101" spans="48:48" hidden="1" x14ac:dyDescent="0.2">
      <c r="AV101">
        <v>97</v>
      </c>
    </row>
    <row r="102" spans="48:48" hidden="1" x14ac:dyDescent="0.2">
      <c r="AV102">
        <v>98</v>
      </c>
    </row>
    <row r="103" spans="48:48" x14ac:dyDescent="0.2">
      <c r="AV103">
        <v>99</v>
      </c>
    </row>
    <row r="104" spans="48:48" x14ac:dyDescent="0.2">
      <c r="AV104">
        <v>100</v>
      </c>
    </row>
    <row r="105" spans="48:48" x14ac:dyDescent="0.2">
      <c r="AV105">
        <v>101</v>
      </c>
    </row>
    <row r="106" spans="48:48" x14ac:dyDescent="0.2">
      <c r="AV106">
        <v>102</v>
      </c>
    </row>
    <row r="107" spans="48:48" x14ac:dyDescent="0.2">
      <c r="AV107">
        <v>103</v>
      </c>
    </row>
    <row r="108" spans="48:48" x14ac:dyDescent="0.2">
      <c r="AV108">
        <v>104</v>
      </c>
    </row>
    <row r="109" spans="48:48" x14ac:dyDescent="0.2">
      <c r="AV109">
        <v>105</v>
      </c>
    </row>
    <row r="110" spans="48:48" x14ac:dyDescent="0.2">
      <c r="AV110">
        <v>106</v>
      </c>
    </row>
    <row r="111" spans="48:48" x14ac:dyDescent="0.2">
      <c r="AV111">
        <v>107</v>
      </c>
    </row>
    <row r="112" spans="48:48" x14ac:dyDescent="0.2">
      <c r="AV112">
        <v>108</v>
      </c>
    </row>
    <row r="113" spans="48:48" x14ac:dyDescent="0.2">
      <c r="AV113">
        <v>109</v>
      </c>
    </row>
  </sheetData>
  <sheetProtection algorithmName="SHA-512" hashValue="dp4OmzGJ1HPinyuwzGzPeOaLcesF8OgmgSX351DMRZmRKqPGaEvvBMOeoKgZyqzjGYySYpotTSXARAfa2QUXRw==" saltValue="hSVs5YUIfOmn4z1/zJR6qw==" spinCount="100000" sheet="1" objects="1" scenarios="1"/>
  <protectedRanges>
    <protectedRange sqref="C3:D4" name="Range2"/>
    <protectedRange sqref="C5:C10" name="Range1"/>
  </protectedRanges>
  <mergeCells count="9">
    <mergeCell ref="N5:N6"/>
    <mergeCell ref="O5:O6"/>
    <mergeCell ref="P5:P6"/>
    <mergeCell ref="C11:D11"/>
    <mergeCell ref="C12:D12"/>
    <mergeCell ref="C3:D3"/>
    <mergeCell ref="C4:D4"/>
    <mergeCell ref="J5:J6"/>
    <mergeCell ref="B1:D1"/>
  </mergeCells>
  <dataValidations count="1">
    <dataValidation type="list" allowBlank="1" showInputMessage="1" showErrorMessage="1" sqref="C3" xr:uid="{00000000-0002-0000-0000-000000000000}">
      <formula1>$BA$4:$BA$5</formula1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Regular</vt:lpstr>
    </vt:vector>
  </TitlesOfParts>
  <Company>The National Commercial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Zohair Arab</dc:creator>
  <cp:lastModifiedBy>abdullah</cp:lastModifiedBy>
  <cp:lastPrinted>2020-01-12T09:24:37Z</cp:lastPrinted>
  <dcterms:created xsi:type="dcterms:W3CDTF">2018-11-12T08:31:05Z</dcterms:created>
  <dcterms:modified xsi:type="dcterms:W3CDTF">2024-01-31T07:27:57Z</dcterms:modified>
</cp:coreProperties>
</file>